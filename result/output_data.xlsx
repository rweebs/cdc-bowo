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/>
  <mc:AlternateContent xmlns:mc="http://schemas.openxmlformats.org/markup-compatibility/2006">
    <mc:Choice Requires="x15">
      <x15ac:absPath xmlns:x15ac="http://schemas.microsoft.com/office/spreadsheetml/2010/11/ac" url="/Users/rahmatwibowo/ta1/cdc/result/"/>
    </mc:Choice>
  </mc:AlternateContent>
  <xr:revisionPtr revIDLastSave="0" documentId="13_ncr:1_{079CC17A-42C0-A54F-8DF3-F09C8ADD39B1}" xr6:coauthVersionLast="47" xr6:coauthVersionMax="47" xr10:uidLastSave="{00000000-0000-0000-0000-000000000000}"/>
  <bookViews>
    <workbookView xWindow="0" yWindow="500" windowWidth="28800" windowHeight="15960" activeTab="1" xr2:uid="{00000000-000D-0000-FFFF-FFFF00000000}"/>
  </bookViews>
  <sheets>
    <sheet name="Performance Test" sheetId="1" r:id="rId1"/>
    <sheet name="Performance Bench" sheetId="2" r:id="rId2"/>
    <sheet name="Performance Nativ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" l="1"/>
  <c r="D8" i="2"/>
  <c r="E8" i="2"/>
  <c r="F8" i="2"/>
  <c r="G8" i="2"/>
  <c r="H8" i="2"/>
  <c r="I8" i="2"/>
  <c r="J8" i="2"/>
  <c r="B8" i="2"/>
  <c r="C8" i="3"/>
  <c r="D8" i="3"/>
  <c r="E8" i="3"/>
  <c r="F8" i="3"/>
  <c r="G8" i="3"/>
  <c r="H8" i="3"/>
  <c r="I8" i="3"/>
  <c r="J8" i="3"/>
  <c r="B8" i="3"/>
  <c r="C8" i="1"/>
  <c r="D8" i="1"/>
  <c r="E8" i="1"/>
  <c r="F8" i="1"/>
  <c r="G8" i="1"/>
  <c r="H8" i="1"/>
  <c r="I8" i="1"/>
  <c r="J8" i="1"/>
  <c r="B8" i="1"/>
</calcChain>
</file>

<file path=xl/sharedStrings.xml><?xml version="1.0" encoding="utf-8"?>
<sst xmlns="http://schemas.openxmlformats.org/spreadsheetml/2006/main" count="33" uniqueCount="11">
  <si>
    <t>rps</t>
  </si>
  <si>
    <t>avg_replication_lag_ms</t>
  </si>
  <si>
    <t>min_replication_lag_ms</t>
  </si>
  <si>
    <t>max_replication_lag_ms</t>
  </si>
  <si>
    <t>stddev_replication_lag_ms</t>
  </si>
  <si>
    <t>percentile_50_ms</t>
  </si>
  <si>
    <t>percentile_75_ms</t>
  </si>
  <si>
    <t>percentile_90_ms</t>
  </si>
  <si>
    <t>percentile_95_ms</t>
  </si>
  <si>
    <t>percentile_99_ms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</si>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</sst>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20" fontId="0" fillId="0" borderId="0" xfId="0" applyNumberFormat="1"/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0" xfId="0" applyFont="1"/>
    <xf numFmtId="1" fontId="0" fillId="0" borderId="0" xfId="0" applyNumberFormat="1"/>
    <xf numFmtId="1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workbookViewId="0">
      <selection activeCell="A8" sqref="A8:J8"/>
    </sheetView>
  </sheetViews>
  <sheetFormatPr baseColWidth="10" defaultColWidth="8.83203125" defaultRowHeight="15" x14ac:dyDescent="0.2"/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>
        <v>10</v>
      </c>
      <c r="B2" s="6">
        <v>491.70165048543691</v>
      </c>
      <c r="C2" s="6">
        <v>98.167000000000002</v>
      </c>
      <c r="D2" s="6">
        <v>963.745</v>
      </c>
      <c r="E2" s="6">
        <v>181.346083051677</v>
      </c>
      <c r="F2" s="6">
        <v>500.55500000000001</v>
      </c>
      <c r="G2" s="6">
        <v>615.59924999999998</v>
      </c>
      <c r="H2" s="6">
        <v>731.53050000000019</v>
      </c>
      <c r="I2" s="6">
        <v>806.10874999999987</v>
      </c>
      <c r="J2" s="6">
        <v>879.24756000000048</v>
      </c>
    </row>
    <row r="3" spans="1:10" x14ac:dyDescent="0.2">
      <c r="A3">
        <v>20</v>
      </c>
      <c r="B3" s="6">
        <v>509.38703366174047</v>
      </c>
      <c r="C3" s="6">
        <v>39.463000000000001</v>
      </c>
      <c r="D3" s="6">
        <v>990.85199999999998</v>
      </c>
      <c r="E3" s="6">
        <v>189.156850437847</v>
      </c>
      <c r="F3" s="6">
        <v>517.67900000000009</v>
      </c>
      <c r="G3" s="6">
        <v>645.87975000000006</v>
      </c>
      <c r="H3" s="6">
        <v>755.84489999999994</v>
      </c>
      <c r="I3" s="6">
        <v>806.43849999999986</v>
      </c>
      <c r="J3" s="6">
        <v>919.85027999999977</v>
      </c>
    </row>
    <row r="4" spans="1:10" x14ac:dyDescent="0.2">
      <c r="A4">
        <v>30</v>
      </c>
      <c r="B4" s="6">
        <v>562.65004437229436</v>
      </c>
      <c r="C4" s="6">
        <v>49.484000000000002</v>
      </c>
      <c r="D4" s="6">
        <v>977.04399999999998</v>
      </c>
      <c r="E4" s="6">
        <v>183.41790472853901</v>
      </c>
      <c r="F4" s="6">
        <v>563.77700000000004</v>
      </c>
      <c r="G4" s="6">
        <v>696.91750000000002</v>
      </c>
      <c r="H4" s="6">
        <v>808.19190000000003</v>
      </c>
      <c r="I4" s="6">
        <v>870.81249999999977</v>
      </c>
      <c r="J4" s="6">
        <v>939.75529999999992</v>
      </c>
    </row>
    <row r="5" spans="1:10" x14ac:dyDescent="0.2">
      <c r="A5">
        <v>40</v>
      </c>
      <c r="B5" s="6">
        <v>517.88178004157999</v>
      </c>
      <c r="C5" s="6">
        <v>44.334000000000003</v>
      </c>
      <c r="D5" s="6">
        <v>998.83600000000001</v>
      </c>
      <c r="E5" s="6">
        <v>200.49450857646099</v>
      </c>
      <c r="F5" s="6">
        <v>524.41999999999996</v>
      </c>
      <c r="G5" s="6">
        <v>657.13599999999997</v>
      </c>
      <c r="H5" s="6">
        <v>782.58780000000002</v>
      </c>
      <c r="I5" s="6">
        <v>853.10339999999997</v>
      </c>
      <c r="J5" s="6">
        <v>945.0841200000001</v>
      </c>
    </row>
    <row r="6" spans="1:10" x14ac:dyDescent="0.2">
      <c r="A6">
        <v>50</v>
      </c>
      <c r="B6" s="6">
        <v>569.27764869390489</v>
      </c>
      <c r="C6" s="6">
        <v>71.912999999999997</v>
      </c>
      <c r="D6" s="6">
        <v>1389.433</v>
      </c>
      <c r="E6" s="6">
        <v>207.02043478218101</v>
      </c>
      <c r="F6" s="6">
        <v>566.9135</v>
      </c>
      <c r="G6" s="6">
        <v>717.03200000000004</v>
      </c>
      <c r="H6" s="6">
        <v>832.87</v>
      </c>
      <c r="I6" s="6">
        <v>884.85424999999998</v>
      </c>
      <c r="J6" s="6">
        <v>1004.232050000001</v>
      </c>
    </row>
    <row r="7" spans="1:10" x14ac:dyDescent="0.2">
      <c r="A7">
        <v>100</v>
      </c>
      <c r="B7" s="6">
        <v>567.67387159920372</v>
      </c>
      <c r="C7" s="6">
        <v>64.516999999999996</v>
      </c>
      <c r="D7" s="6">
        <v>1030.931</v>
      </c>
      <c r="E7" s="6">
        <v>186.49402666883799</v>
      </c>
      <c r="F7" s="6">
        <v>568.94550000000004</v>
      </c>
      <c r="G7" s="6">
        <v>699.84950000000003</v>
      </c>
      <c r="H7" s="6">
        <v>814.96050000000002</v>
      </c>
      <c r="I7" s="6">
        <v>874.1434499999998</v>
      </c>
      <c r="J7" s="6">
        <v>966.22363999999993</v>
      </c>
    </row>
    <row r="8" spans="1:10" x14ac:dyDescent="0.2">
      <c r="A8" t="s">
        <v>10</v>
      </c>
      <c r="B8" s="6">
        <f>AVERAGE(B2:B7)</f>
        <v>536.42867147569336</v>
      </c>
      <c r="C8" s="6">
        <f t="shared" ref="C8:J8" si="0">AVERAGE(C2:C7)</f>
        <v>61.312999999999995</v>
      </c>
      <c r="D8" s="6">
        <f t="shared" si="0"/>
        <v>1058.4735000000001</v>
      </c>
      <c r="E8" s="6">
        <f t="shared" si="0"/>
        <v>191.32163470759053</v>
      </c>
      <c r="F8" s="6">
        <f t="shared" si="0"/>
        <v>540.38166666666666</v>
      </c>
      <c r="G8" s="6">
        <f t="shared" si="0"/>
        <v>672.06900000000007</v>
      </c>
      <c r="H8" s="6">
        <f t="shared" si="0"/>
        <v>787.66426666666666</v>
      </c>
      <c r="I8" s="6">
        <f t="shared" si="0"/>
        <v>849.24347499999988</v>
      </c>
      <c r="J8" s="6">
        <f t="shared" si="0"/>
        <v>942.39882500000022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27F37-6922-D644-9B67-9A8BD6961439}">
  <dimension ref="A1:J8"/>
  <sheetViews>
    <sheetView tabSelected="1" workbookViewId="0">
      <selection activeCell="B8" sqref="B8:J8"/>
    </sheetView>
  </sheetViews>
  <sheetFormatPr baseColWidth="10" defaultRowHeight="15" x14ac:dyDescent="0.2"/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>
        <v>10</v>
      </c>
      <c r="B2" s="6">
        <v>491.70165048543691</v>
      </c>
      <c r="C2" s="6">
        <v>98.167000000000002</v>
      </c>
      <c r="D2" s="6">
        <v>963.745</v>
      </c>
      <c r="E2" s="6">
        <v>181.346083051677</v>
      </c>
      <c r="F2" s="6">
        <v>500.55500000000001</v>
      </c>
      <c r="G2" s="6">
        <v>615.59924999999998</v>
      </c>
      <c r="H2" s="6">
        <v>731.53050000000019</v>
      </c>
      <c r="I2" s="6">
        <v>806.10874999999987</v>
      </c>
      <c r="J2" s="6">
        <v>879.24756000000048</v>
      </c>
    </row>
    <row r="3" spans="1:10" x14ac:dyDescent="0.2">
      <c r="A3">
        <v>20</v>
      </c>
      <c r="B3" s="6">
        <v>509.38703366174047</v>
      </c>
      <c r="C3" s="6">
        <v>39.463000000000001</v>
      </c>
      <c r="D3" s="6">
        <v>990.85199999999998</v>
      </c>
      <c r="E3" s="6">
        <v>189.156850437847</v>
      </c>
      <c r="F3" s="6">
        <v>517.67900000000009</v>
      </c>
      <c r="G3" s="6">
        <v>645.87975000000006</v>
      </c>
      <c r="H3" s="6">
        <v>755.84489999999994</v>
      </c>
      <c r="I3" s="6">
        <v>806.43849999999986</v>
      </c>
      <c r="J3" s="6">
        <v>919.85027999999977</v>
      </c>
    </row>
    <row r="4" spans="1:10" x14ac:dyDescent="0.2">
      <c r="A4">
        <v>30</v>
      </c>
      <c r="B4" s="6">
        <v>562.65004437229436</v>
      </c>
      <c r="C4" s="6">
        <v>49.484000000000002</v>
      </c>
      <c r="D4" s="6">
        <v>977.04399999999998</v>
      </c>
      <c r="E4" s="6">
        <v>183.41790472853901</v>
      </c>
      <c r="F4" s="6">
        <v>563.77700000000004</v>
      </c>
      <c r="G4" s="6">
        <v>696.91750000000002</v>
      </c>
      <c r="H4" s="6">
        <v>808.19190000000003</v>
      </c>
      <c r="I4" s="6">
        <v>870.81249999999977</v>
      </c>
      <c r="J4" s="6">
        <v>939.75529999999992</v>
      </c>
    </row>
    <row r="5" spans="1:10" x14ac:dyDescent="0.2">
      <c r="A5">
        <v>40</v>
      </c>
      <c r="B5" s="6">
        <v>517.88178004157999</v>
      </c>
      <c r="C5" s="6">
        <v>44.334000000000003</v>
      </c>
      <c r="D5" s="6">
        <v>998.83600000000001</v>
      </c>
      <c r="E5" s="6">
        <v>200.49450857646099</v>
      </c>
      <c r="F5" s="6">
        <v>524.41999999999996</v>
      </c>
      <c r="G5" s="6">
        <v>657.13599999999997</v>
      </c>
      <c r="H5" s="6">
        <v>782.58780000000002</v>
      </c>
      <c r="I5" s="6">
        <v>853.10339999999997</v>
      </c>
      <c r="J5" s="6">
        <v>945.0841200000001</v>
      </c>
    </row>
    <row r="6" spans="1:10" x14ac:dyDescent="0.2">
      <c r="A6">
        <v>50</v>
      </c>
      <c r="B6" s="6">
        <v>569.27764869390489</v>
      </c>
      <c r="C6" s="6">
        <v>71.912999999999997</v>
      </c>
      <c r="D6" s="6">
        <v>1389.433</v>
      </c>
      <c r="E6" s="6">
        <v>207.02043478218101</v>
      </c>
      <c r="F6" s="6">
        <v>566.9135</v>
      </c>
      <c r="G6" s="6">
        <v>717.03200000000004</v>
      </c>
      <c r="H6" s="6">
        <v>832.87</v>
      </c>
      <c r="I6" s="6">
        <v>884.85424999999998</v>
      </c>
      <c r="J6" s="6">
        <v>1004.232050000001</v>
      </c>
    </row>
    <row r="7" spans="1:10" x14ac:dyDescent="0.2">
      <c r="A7">
        <v>100</v>
      </c>
      <c r="B7" s="6">
        <v>567.67387159920372</v>
      </c>
      <c r="C7" s="6">
        <v>64.516999999999996</v>
      </c>
      <c r="D7" s="6">
        <v>1030.931</v>
      </c>
      <c r="E7" s="6">
        <v>186.49402666883799</v>
      </c>
      <c r="F7" s="6">
        <v>568.94550000000004</v>
      </c>
      <c r="G7" s="6">
        <v>699.84950000000003</v>
      </c>
      <c r="H7" s="6">
        <v>814.96050000000002</v>
      </c>
      <c r="I7" s="6">
        <v>874.1434499999998</v>
      </c>
      <c r="J7" s="6">
        <v>966.22363999999993</v>
      </c>
    </row>
    <row r="8" spans="1:10" x14ac:dyDescent="0.2">
      <c r="A8" t="s">
        <v>10</v>
      </c>
      <c r="B8" s="6">
        <f>AVERAGE(B2:B7)</f>
        <v>536.42867147569336</v>
      </c>
      <c r="C8" s="6">
        <f t="shared" ref="C8:J8" si="0">AVERAGE(C2:C7)</f>
        <v>61.312999999999995</v>
      </c>
      <c r="D8" s="6">
        <f t="shared" si="0"/>
        <v>1058.4735000000001</v>
      </c>
      <c r="E8" s="6">
        <f t="shared" si="0"/>
        <v>191.32163470759053</v>
      </c>
      <c r="F8" s="6">
        <f t="shared" si="0"/>
        <v>540.38166666666666</v>
      </c>
      <c r="G8" s="6">
        <f t="shared" si="0"/>
        <v>672.06900000000007</v>
      </c>
      <c r="H8" s="6">
        <f t="shared" si="0"/>
        <v>787.66426666666666</v>
      </c>
      <c r="I8" s="6">
        <f t="shared" si="0"/>
        <v>849.24347499999988</v>
      </c>
      <c r="J8" s="6">
        <f t="shared" si="0"/>
        <v>942.39882500000022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EF8E9-1AE1-1246-8CD7-7D4E87760670}">
  <dimension ref="A1:K8"/>
  <sheetViews>
    <sheetView workbookViewId="0">
      <selection activeCell="B2" sqref="B2:J8"/>
    </sheetView>
  </sheetViews>
  <sheetFormatPr baseColWidth="10" defaultRowHeight="15" x14ac:dyDescent="0.2"/>
  <cols>
    <col min="2" max="3" width="11" bestFit="1" customWidth="1"/>
    <col min="4" max="4" width="11.6640625" bestFit="1" customWidth="1"/>
    <col min="5" max="10" width="11" bestFit="1" customWidth="1"/>
  </cols>
  <sheetData>
    <row r="1" spans="1:11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1" x14ac:dyDescent="0.2">
      <c r="A2" s="5">
        <v>10</v>
      </c>
      <c r="B2" s="7">
        <v>1.3013269999999999</v>
      </c>
      <c r="C2" s="7">
        <v>0.51200000000000001</v>
      </c>
      <c r="D2" s="7">
        <v>39.808</v>
      </c>
      <c r="E2" s="7">
        <v>2.770572</v>
      </c>
      <c r="F2" s="7">
        <v>0.85499999999999998</v>
      </c>
      <c r="G2" s="7">
        <v>0.96399999999999997</v>
      </c>
      <c r="H2" s="7">
        <v>1.3492</v>
      </c>
      <c r="I2" s="7">
        <v>1.9486000000000001</v>
      </c>
      <c r="J2" s="7">
        <v>12.41864</v>
      </c>
      <c r="K2" s="2"/>
    </row>
    <row r="3" spans="1:11" x14ac:dyDescent="0.2">
      <c r="A3" s="5">
        <v>20</v>
      </c>
      <c r="B3" s="7">
        <v>1.575669</v>
      </c>
      <c r="C3" s="7">
        <v>0.66600000000000004</v>
      </c>
      <c r="D3" s="7">
        <v>348.60500000000002</v>
      </c>
      <c r="E3" s="7">
        <v>10.172219999999999</v>
      </c>
      <c r="F3" s="7">
        <v>1.081</v>
      </c>
      <c r="G3" s="7">
        <v>1.2070000000000001</v>
      </c>
      <c r="H3" s="7">
        <v>1.4145000000000001</v>
      </c>
      <c r="I3" s="7">
        <v>1.8592500000000001</v>
      </c>
      <c r="J3" s="7">
        <v>7.2565</v>
      </c>
      <c r="K3" s="2"/>
    </row>
    <row r="4" spans="1:11" x14ac:dyDescent="0.2">
      <c r="A4" s="5">
        <v>30</v>
      </c>
      <c r="B4" s="7">
        <v>1.6111009999999999</v>
      </c>
      <c r="C4" s="7">
        <v>1.0469999999999999</v>
      </c>
      <c r="D4" s="7">
        <v>34.463999999999999</v>
      </c>
      <c r="E4" s="7">
        <v>1.2277940000000001</v>
      </c>
      <c r="F4" s="7">
        <v>1.4359999999999999</v>
      </c>
      <c r="G4" s="7">
        <v>1.569</v>
      </c>
      <c r="H4" s="7">
        <v>1.8162</v>
      </c>
      <c r="I4" s="7">
        <v>2.2753999999999999</v>
      </c>
      <c r="J4" s="7">
        <v>5.4887600000000001</v>
      </c>
      <c r="K4" s="2"/>
    </row>
    <row r="5" spans="1:11" x14ac:dyDescent="0.2">
      <c r="A5" s="5">
        <v>40</v>
      </c>
      <c r="B5" s="7">
        <v>2.0858110000000001</v>
      </c>
      <c r="C5" s="7">
        <v>1.41</v>
      </c>
      <c r="D5" s="7">
        <v>33.616999999999997</v>
      </c>
      <c r="E5" s="7">
        <v>1.568268</v>
      </c>
      <c r="F5" s="7">
        <v>1.792</v>
      </c>
      <c r="G5" s="7">
        <v>1.931</v>
      </c>
      <c r="H5" s="7">
        <v>2.323</v>
      </c>
      <c r="I5" s="7">
        <v>3.2010000000000001</v>
      </c>
      <c r="J5" s="7">
        <v>8.5343999999999998</v>
      </c>
      <c r="K5" s="2"/>
    </row>
    <row r="6" spans="1:11" x14ac:dyDescent="0.2">
      <c r="A6" s="5">
        <v>50</v>
      </c>
      <c r="B6" s="7">
        <v>2.6252399999999998</v>
      </c>
      <c r="C6" s="7">
        <v>1.6930000000000001</v>
      </c>
      <c r="D6" s="7">
        <v>156.643</v>
      </c>
      <c r="E6" s="7">
        <v>6.4674750000000003</v>
      </c>
      <c r="F6" s="7">
        <v>2.0550000000000002</v>
      </c>
      <c r="G6" s="7">
        <v>2.1850000000000001</v>
      </c>
      <c r="H6" s="7">
        <v>2.5644</v>
      </c>
      <c r="I6" s="7">
        <v>3.3874</v>
      </c>
      <c r="J6" s="7">
        <v>7.8761999999999999</v>
      </c>
    </row>
    <row r="7" spans="1:11" x14ac:dyDescent="0.2">
      <c r="A7" s="5">
        <v>100</v>
      </c>
      <c r="B7" s="7">
        <v>2.5568520000000001</v>
      </c>
      <c r="C7" s="7">
        <v>1.77</v>
      </c>
      <c r="D7" s="7">
        <v>46.613</v>
      </c>
      <c r="E7" s="7">
        <v>1.4940929999999999</v>
      </c>
      <c r="F7" s="7">
        <v>2.2410000000000001</v>
      </c>
      <c r="G7" s="7">
        <v>2.3980000000000001</v>
      </c>
      <c r="H7" s="7">
        <v>3.0379999999999998</v>
      </c>
      <c r="I7" s="7">
        <v>4.1693499999999997</v>
      </c>
      <c r="J7" s="7">
        <v>7.8330399999999996</v>
      </c>
    </row>
    <row r="8" spans="1:11" x14ac:dyDescent="0.2">
      <c r="A8" t="s">
        <v>10</v>
      </c>
      <c r="B8" s="6">
        <f>AVERAGE(B2:B7)</f>
        <v>1.9593333333333334</v>
      </c>
      <c r="C8" s="6">
        <f t="shared" ref="C8:J8" si="0">AVERAGE(C2:C7)</f>
        <v>1.1829999999999998</v>
      </c>
      <c r="D8" s="6">
        <f t="shared" si="0"/>
        <v>109.95833333333333</v>
      </c>
      <c r="E8" s="6">
        <f t="shared" si="0"/>
        <v>3.9500703333333327</v>
      </c>
      <c r="F8" s="6">
        <f t="shared" si="0"/>
        <v>1.5766666666666664</v>
      </c>
      <c r="G8" s="6">
        <f t="shared" si="0"/>
        <v>1.7089999999999999</v>
      </c>
      <c r="H8" s="6">
        <f t="shared" si="0"/>
        <v>2.0842166666666668</v>
      </c>
      <c r="I8" s="6">
        <f t="shared" si="0"/>
        <v>2.8068333333333335</v>
      </c>
      <c r="J8" s="6">
        <f t="shared" si="0"/>
        <v>8.234589999999999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Performance Test</vt:lpstr>
      <vt:lpstr>Performance Bench</vt:lpstr>
      <vt:lpstr>Performance Native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Rahmat Wibowo</cp:lastModifiedBy>
  <dcterms:created xsi:type="dcterms:W3CDTF">2023-07-23T12:39:14Z</dcterms:created>
  <dcterms:modified xsi:type="dcterms:W3CDTF">2023-07-26T07:26:10Z</dcterms:modified>
</cp:coreProperties>
</file>